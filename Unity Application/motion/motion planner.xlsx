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\Documents\GitHub\Chess-Robot\Chess Robot Unity\motion\"/>
    </mc:Choice>
  </mc:AlternateContent>
  <xr:revisionPtr revIDLastSave="0" documentId="13_ncr:1_{B9DF9039-23FD-4EBD-BA51-8EE2D085A120}" xr6:coauthVersionLast="47" xr6:coauthVersionMax="47" xr10:uidLastSave="{00000000-0000-0000-0000-000000000000}"/>
  <bookViews>
    <workbookView xWindow="2280" yWindow="720" windowWidth="25950" windowHeight="14235" activeTab="1" xr2:uid="{3F40BF6E-D8AF-4EE2-931A-00636F7C4103}"/>
  </bookViews>
  <sheets>
    <sheet name="angles (2)" sheetId="3" r:id="rId1"/>
    <sheet name="Sheet1" sheetId="5" r:id="rId2"/>
  </sheets>
  <definedNames>
    <definedName name="ExternalData_1" localSheetId="0" hidden="1">'angles (2)'!$A$1:$A$46</definedName>
    <definedName name="ExternalData_2" localSheetId="0" hidden="1">'angles (2)'!$B$1:$B$46</definedName>
    <definedName name="ExternalData_3" localSheetId="0" hidden="1">'angles (2)'!$C$1:$C$46</definedName>
    <definedName name="ExternalData_4" localSheetId="0" hidden="1">'angles (2)'!$D$1:$D$46</definedName>
    <definedName name="ExternalData_5" localSheetId="0" hidden="1">'angles (2)'!#REF!</definedName>
    <definedName name="ExternalData_6" localSheetId="0" hidden="1">'angles (2)'!#REF!</definedName>
    <definedName name="ExternalData_7" localSheetId="0" hidden="1">'angles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3" l="1"/>
  <c r="N31" i="3"/>
  <c r="J3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459C73-C425-4491-BFB9-D174CB3CEDD4}" keepAlive="1" name="Query - base_actual_angles" description="Connection to the 'base_actual_angles' query in the workbook." type="5" refreshedVersion="8" background="1" saveData="1">
    <dbPr connection="Provider=Microsoft.Mashup.OleDb.1;Data Source=$Workbook$;Location=base_actual_angles;Extended Properties=&quot;&quot;" command="SELECT * FROM [base_actual_angles]"/>
  </connection>
  <connection id="2" xr16:uid="{7C1B3F19-2A8E-40FA-9BAD-B641A029785F}" keepAlive="1" name="Query - base_target_angles" description="Connection to the 'base_target_angles' query in the workbook." type="5" refreshedVersion="8" background="1" saveData="1">
    <dbPr connection="Provider=Microsoft.Mashup.OleDb.1;Data Source=$Workbook$;Location=base_target_angles;Extended Properties=&quot;&quot;" command="SELECT * FROM [base_target_angles]"/>
  </connection>
  <connection id="3" xr16:uid="{F51C48DE-292E-4F63-8F4E-7ED8B8B45258}" keepAlive="1" name="Query - elbow_actual_angles" description="Connection to the 'elbow_actual_angles' query in the workbook." type="5" refreshedVersion="8" background="1" saveData="1">
    <dbPr connection="Provider=Microsoft.Mashup.OleDb.1;Data Source=$Workbook$;Location=elbow_actual_angles;Extended Properties=&quot;&quot;" command="SELECT * FROM [elbow_actual_angles]"/>
  </connection>
  <connection id="4" xr16:uid="{1942BDA1-BAEB-42F3-A1FF-68C16D52251A}" keepAlive="1" name="Query - elbow_target_angles" description="Connection to the 'elbow_target_angles' query in the workbook." type="5" refreshedVersion="8" background="1" saveData="1">
    <dbPr connection="Provider=Microsoft.Mashup.OleDb.1;Data Source=$Workbook$;Location=elbow_target_angles;Extended Properties=&quot;&quot;" command="SELECT * FROM [elbow_target_angles]"/>
  </connection>
</connections>
</file>

<file path=xl/sharedStrings.xml><?xml version="1.0" encoding="utf-8"?>
<sst xmlns="http://schemas.openxmlformats.org/spreadsheetml/2006/main" count="15" uniqueCount="15">
  <si>
    <t>Arm part 1</t>
  </si>
  <si>
    <t>Arm part 2</t>
  </si>
  <si>
    <t>Arm part 3</t>
  </si>
  <si>
    <t>DMXL servo</t>
  </si>
  <si>
    <t>End servo</t>
  </si>
  <si>
    <t>End effector</t>
  </si>
  <si>
    <t>Total g</t>
  </si>
  <si>
    <t>Misc</t>
  </si>
  <si>
    <t>I est (solid rod)</t>
  </si>
  <si>
    <t>I est (Fusion)</t>
  </si>
  <si>
    <t>Torque constant</t>
  </si>
  <si>
    <t>Elbow Target</t>
  </si>
  <si>
    <t>Elbow Actual</t>
  </si>
  <si>
    <t>Base Target</t>
  </si>
  <si>
    <t>Base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</si>
</sst>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numFmt numFmtId="165" formatCode="0.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'angles (2)'!$A$1</c:f>
              <c:strCache>
                <c:ptCount val="1"/>
                <c:pt idx="0">
                  <c:v>Elbow 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'angles (2)'!$A$2:$A$46</c:f>
              <c:numCache>
                <c:formatCode>0.0</c:formatCode>
                <c:ptCount val="45"/>
                <c:pt idx="0">
                  <c:v>142.44749999999999</c:v>
                </c:pt>
                <c:pt idx="1">
                  <c:v>142.44749999999999</c:v>
                </c:pt>
                <c:pt idx="2">
                  <c:v>142.44749999999999</c:v>
                </c:pt>
                <c:pt idx="3">
                  <c:v>142.44749999999999</c:v>
                </c:pt>
                <c:pt idx="4">
                  <c:v>142.44749999999999</c:v>
                </c:pt>
                <c:pt idx="5">
                  <c:v>142.44749999999999</c:v>
                </c:pt>
                <c:pt idx="6">
                  <c:v>142.44749999999999</c:v>
                </c:pt>
                <c:pt idx="7">
                  <c:v>142.44749999999999</c:v>
                </c:pt>
                <c:pt idx="8">
                  <c:v>142.44749999999999</c:v>
                </c:pt>
                <c:pt idx="9">
                  <c:v>142.44749999999999</c:v>
                </c:pt>
                <c:pt idx="10">
                  <c:v>142.44749999999999</c:v>
                </c:pt>
                <c:pt idx="11">
                  <c:v>142.44749999999999</c:v>
                </c:pt>
                <c:pt idx="12">
                  <c:v>142.44749999999999</c:v>
                </c:pt>
                <c:pt idx="13">
                  <c:v>142.44749999999999</c:v>
                </c:pt>
                <c:pt idx="14">
                  <c:v>143.78219999999999</c:v>
                </c:pt>
                <c:pt idx="15">
                  <c:v>145.0917</c:v>
                </c:pt>
                <c:pt idx="16">
                  <c:v>146.3741</c:v>
                </c:pt>
                <c:pt idx="17">
                  <c:v>147.62729999999999</c:v>
                </c:pt>
                <c:pt idx="18">
                  <c:v>148.84880000000001</c:v>
                </c:pt>
                <c:pt idx="19">
                  <c:v>150.0359</c:v>
                </c:pt>
                <c:pt idx="20">
                  <c:v>151.18510000000001</c:v>
                </c:pt>
                <c:pt idx="21">
                  <c:v>152.2927</c:v>
                </c:pt>
                <c:pt idx="22">
                  <c:v>153.3544</c:v>
                </c:pt>
                <c:pt idx="23">
                  <c:v>154.36529999999999</c:v>
                </c:pt>
                <c:pt idx="24">
                  <c:v>155.3201</c:v>
                </c:pt>
                <c:pt idx="25">
                  <c:v>155.3201</c:v>
                </c:pt>
                <c:pt idx="26">
                  <c:v>155.3201</c:v>
                </c:pt>
                <c:pt idx="27">
                  <c:v>155.3201</c:v>
                </c:pt>
                <c:pt idx="28">
                  <c:v>155.3201</c:v>
                </c:pt>
                <c:pt idx="29">
                  <c:v>155.3201</c:v>
                </c:pt>
                <c:pt idx="30">
                  <c:v>155.3201</c:v>
                </c:pt>
                <c:pt idx="31">
                  <c:v>155.3201</c:v>
                </c:pt>
                <c:pt idx="32">
                  <c:v>155.3201</c:v>
                </c:pt>
                <c:pt idx="33">
                  <c:v>155.3201</c:v>
                </c:pt>
                <c:pt idx="34">
                  <c:v>155.3201</c:v>
                </c:pt>
                <c:pt idx="35">
                  <c:v>155.3201</c:v>
                </c:pt>
                <c:pt idx="36">
                  <c:v>155.3201</c:v>
                </c:pt>
                <c:pt idx="37">
                  <c:v>155.3201</c:v>
                </c:pt>
                <c:pt idx="38">
                  <c:v>155.3201</c:v>
                </c:pt>
                <c:pt idx="39">
                  <c:v>155.3201</c:v>
                </c:pt>
                <c:pt idx="40">
                  <c:v>155.3201</c:v>
                </c:pt>
                <c:pt idx="41">
                  <c:v>155.3201</c:v>
                </c:pt>
                <c:pt idx="42">
                  <c:v>155.3201</c:v>
                </c:pt>
                <c:pt idx="43">
                  <c:v>155.3201</c:v>
                </c:pt>
                <c:pt idx="44">
                  <c:v>155.3201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8E-4138-8BC1-871872E752AF}"/>
            </c:ext>
          </c:extLst>
        </c:ser>
        <c:ser>
          <c:idx val="1"/>
          <c:order val="1"/>
          <c:tx>
            <c:strRef>
              <c:f>'angles (2)'!$B$1</c:f>
              <c:strCache>
                <c:ptCount val="1"/>
                <c:pt idx="0">
                  <c:v>Elbow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'angles (2)'!$B$2:$B$46</c:f>
              <c:numCache>
                <c:formatCode>0.0</c:formatCode>
                <c:ptCount val="45"/>
                <c:pt idx="0">
                  <c:v>133.9</c:v>
                </c:pt>
                <c:pt idx="1">
                  <c:v>136.1</c:v>
                </c:pt>
                <c:pt idx="2">
                  <c:v>136.1</c:v>
                </c:pt>
                <c:pt idx="3">
                  <c:v>136.1</c:v>
                </c:pt>
                <c:pt idx="4">
                  <c:v>138.91</c:v>
                </c:pt>
                <c:pt idx="5">
                  <c:v>139.79</c:v>
                </c:pt>
                <c:pt idx="6">
                  <c:v>139.79</c:v>
                </c:pt>
                <c:pt idx="7">
                  <c:v>139.79</c:v>
                </c:pt>
                <c:pt idx="8">
                  <c:v>139.79</c:v>
                </c:pt>
                <c:pt idx="9">
                  <c:v>139.79</c:v>
                </c:pt>
                <c:pt idx="10">
                  <c:v>139.69999999999999</c:v>
                </c:pt>
                <c:pt idx="11">
                  <c:v>139.69999999999999</c:v>
                </c:pt>
                <c:pt idx="12">
                  <c:v>139.69999999999999</c:v>
                </c:pt>
                <c:pt idx="13">
                  <c:v>139.69999999999999</c:v>
                </c:pt>
                <c:pt idx="14">
                  <c:v>140.49</c:v>
                </c:pt>
                <c:pt idx="15">
                  <c:v>140.49</c:v>
                </c:pt>
                <c:pt idx="16">
                  <c:v>142.96</c:v>
                </c:pt>
                <c:pt idx="17">
                  <c:v>142.96</c:v>
                </c:pt>
                <c:pt idx="18">
                  <c:v>145.07</c:v>
                </c:pt>
                <c:pt idx="19">
                  <c:v>147.18</c:v>
                </c:pt>
                <c:pt idx="20">
                  <c:v>147.18</c:v>
                </c:pt>
                <c:pt idx="21">
                  <c:v>147.18</c:v>
                </c:pt>
                <c:pt idx="22">
                  <c:v>149.19999999999999</c:v>
                </c:pt>
                <c:pt idx="23">
                  <c:v>151.31</c:v>
                </c:pt>
                <c:pt idx="24">
                  <c:v>151.31</c:v>
                </c:pt>
                <c:pt idx="25">
                  <c:v>151.31</c:v>
                </c:pt>
                <c:pt idx="26">
                  <c:v>152.71</c:v>
                </c:pt>
                <c:pt idx="27">
                  <c:v>152.80000000000001</c:v>
                </c:pt>
                <c:pt idx="28">
                  <c:v>152.80000000000001</c:v>
                </c:pt>
                <c:pt idx="29">
                  <c:v>152.71</c:v>
                </c:pt>
                <c:pt idx="30">
                  <c:v>152.71</c:v>
                </c:pt>
                <c:pt idx="31">
                  <c:v>152.71</c:v>
                </c:pt>
                <c:pt idx="32">
                  <c:v>152.80000000000001</c:v>
                </c:pt>
                <c:pt idx="33">
                  <c:v>152.80000000000001</c:v>
                </c:pt>
                <c:pt idx="34">
                  <c:v>152.71</c:v>
                </c:pt>
                <c:pt idx="35">
                  <c:v>152.71</c:v>
                </c:pt>
                <c:pt idx="36">
                  <c:v>152.71</c:v>
                </c:pt>
                <c:pt idx="37">
                  <c:v>152.71</c:v>
                </c:pt>
                <c:pt idx="38">
                  <c:v>152.71</c:v>
                </c:pt>
                <c:pt idx="39">
                  <c:v>152.71</c:v>
                </c:pt>
                <c:pt idx="40">
                  <c:v>152.71</c:v>
                </c:pt>
                <c:pt idx="41">
                  <c:v>152.71</c:v>
                </c:pt>
                <c:pt idx="42">
                  <c:v>152.80000000000001</c:v>
                </c:pt>
                <c:pt idx="43">
                  <c:v>152.80000000000001</c:v>
                </c:pt>
                <c:pt idx="44">
                  <c:v>152.71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8E-4138-8BC1-871872E75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383007"/>
        <c:axId val="2018383487"/>
      </c:lineChart>
      <c:catAx>
        <c:axId val="2018383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83487"/>
        <c:crosses val="autoZero"/>
        <c:auto val="1"/>
        <c:lblAlgn val="ctr"/>
        <c:lblOffset val="100"/>
        <c:noMultiLvlLbl val="0"/>
      </c:catAx>
      <c:valAx>
        <c:axId val="2018383487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8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'angles (2)'!$C$1</c:f>
              <c:strCache>
                <c:ptCount val="1"/>
                <c:pt idx="0">
                  <c:v>Base 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'angles (2)'!$C$2:$C$46</c:f>
              <c:numCache>
                <c:formatCode>0.0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D2-441C-8427-EA0A761E523E}"/>
            </c:ext>
          </c:extLst>
        </c:ser>
        <c:ser>
          <c:idx val="1"/>
          <c:order val="1"/>
          <c:tx>
            <c:strRef>
              <c:f>'angles (2)'!$D$1</c:f>
              <c:strCache>
                <c:ptCount val="1"/>
                <c:pt idx="0">
                  <c:v>Base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'angles (2)'!$D$2:$D$46</c:f>
              <c:numCache>
                <c:formatCode>0.0</c:formatCode>
                <c:ptCount val="45"/>
                <c:pt idx="0">
                  <c:v>2.64</c:v>
                </c:pt>
                <c:pt idx="1">
                  <c:v>2.64</c:v>
                </c:pt>
                <c:pt idx="2">
                  <c:v>2.64</c:v>
                </c:pt>
                <c:pt idx="3">
                  <c:v>2.64</c:v>
                </c:pt>
                <c:pt idx="4">
                  <c:v>2.64</c:v>
                </c:pt>
                <c:pt idx="5">
                  <c:v>2.64</c:v>
                </c:pt>
                <c:pt idx="6">
                  <c:v>2.64</c:v>
                </c:pt>
                <c:pt idx="7">
                  <c:v>2.64</c:v>
                </c:pt>
                <c:pt idx="8">
                  <c:v>2.64</c:v>
                </c:pt>
                <c:pt idx="9">
                  <c:v>2.64</c:v>
                </c:pt>
                <c:pt idx="10">
                  <c:v>2.64</c:v>
                </c:pt>
                <c:pt idx="11">
                  <c:v>2.64</c:v>
                </c:pt>
                <c:pt idx="12">
                  <c:v>2.64</c:v>
                </c:pt>
                <c:pt idx="13">
                  <c:v>2.64</c:v>
                </c:pt>
                <c:pt idx="14">
                  <c:v>2.64</c:v>
                </c:pt>
                <c:pt idx="15">
                  <c:v>2.64</c:v>
                </c:pt>
                <c:pt idx="16">
                  <c:v>2.64</c:v>
                </c:pt>
                <c:pt idx="17">
                  <c:v>2.64</c:v>
                </c:pt>
                <c:pt idx="18">
                  <c:v>2.64</c:v>
                </c:pt>
                <c:pt idx="19">
                  <c:v>2.64</c:v>
                </c:pt>
                <c:pt idx="20">
                  <c:v>2.64</c:v>
                </c:pt>
                <c:pt idx="21">
                  <c:v>2.64</c:v>
                </c:pt>
                <c:pt idx="22">
                  <c:v>2.64</c:v>
                </c:pt>
                <c:pt idx="23">
                  <c:v>2.64</c:v>
                </c:pt>
                <c:pt idx="24">
                  <c:v>2.64</c:v>
                </c:pt>
                <c:pt idx="25">
                  <c:v>2.64</c:v>
                </c:pt>
                <c:pt idx="26">
                  <c:v>2.64</c:v>
                </c:pt>
                <c:pt idx="27">
                  <c:v>2.64</c:v>
                </c:pt>
                <c:pt idx="28">
                  <c:v>2.64</c:v>
                </c:pt>
                <c:pt idx="29">
                  <c:v>2.64</c:v>
                </c:pt>
                <c:pt idx="30">
                  <c:v>2.64</c:v>
                </c:pt>
                <c:pt idx="31">
                  <c:v>2.64</c:v>
                </c:pt>
                <c:pt idx="32">
                  <c:v>2.64</c:v>
                </c:pt>
                <c:pt idx="33">
                  <c:v>2.64</c:v>
                </c:pt>
                <c:pt idx="34">
                  <c:v>2.64</c:v>
                </c:pt>
                <c:pt idx="35">
                  <c:v>2.64</c:v>
                </c:pt>
                <c:pt idx="36">
                  <c:v>2.64</c:v>
                </c:pt>
                <c:pt idx="37">
                  <c:v>2.64</c:v>
                </c:pt>
                <c:pt idx="38">
                  <c:v>2.64</c:v>
                </c:pt>
                <c:pt idx="39">
                  <c:v>2.64</c:v>
                </c:pt>
                <c:pt idx="40">
                  <c:v>2.64</c:v>
                </c:pt>
                <c:pt idx="41">
                  <c:v>2.64</c:v>
                </c:pt>
                <c:pt idx="42">
                  <c:v>2.64</c:v>
                </c:pt>
                <c:pt idx="43">
                  <c:v>2.64</c:v>
                </c:pt>
                <c:pt idx="44">
                  <c:v>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D2-441C-8427-EA0A761E5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383007"/>
        <c:axId val="2018383487"/>
      </c:lineChart>
      <c:catAx>
        <c:axId val="2018383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83487"/>
        <c:crosses val="autoZero"/>
        <c:auto val="1"/>
        <c:lblAlgn val="ctr"/>
        <c:lblOffset val="100"/>
        <c:noMultiLvlLbl val="0"/>
      </c:catAx>
      <c:valAx>
        <c:axId val="201838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8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257175</xdr:colOff>
      <xdr:row>0</xdr:row>
      <xdr:rowOff>123824</xdr:rowOff>
    </xdr:from>
    <xdr:to>
      <xdr:col>20</xdr:col>
      <xdr:colOff>266700</xdr:colOff>
      <xdr:row>26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54E504-0EEF-441B-9412-E6A2B53A8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0</xdr:row>
      <xdr:rowOff>104775</xdr:rowOff>
    </xdr:from>
    <xdr:to>
      <xdr:col>10</xdr:col>
      <xdr:colOff>161925</xdr:colOff>
      <xdr:row>26</xdr:row>
      <xdr:rowOff>47626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5875EA-12F0-4B2B-B2AC-75F53AF18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D7B9ADF-F075-4A12-A92F-DBC9442E1119}" autoFormatId="16" applyNumberFormats="0" applyBorderFormats="0" applyFontFormats="0" applyPatternFormats="0" applyAlignmentFormats="0" applyWidthHeightFormats="0">
  <queryTableRefresh nextId="2">
    <queryTableFields count="1">
      <queryTableField id="1" name="Elbow Target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9C90C08-FFC8-4688-AC70-0F7F92CC5994}" autoFormatId="16" applyNumberFormats="0" applyBorderFormats="0" applyFontFormats="0" applyPatternFormats="0" applyAlignmentFormats="0" applyWidthHeightFormats="0">
  <queryTableRefresh nextId="2">
    <queryTableFields count="1">
      <queryTableField id="1" name="Elbow Actual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EB52BFD2-EF47-48CB-B3B7-BF9827792359}" autoFormatId="16" applyNumberFormats="0" applyBorderFormats="0" applyFontFormats="0" applyPatternFormats="0" applyAlignmentFormats="0" applyWidthHeightFormats="0">
  <queryTableRefresh nextId="2">
    <queryTableFields count="1">
      <queryTableField id="1" name="Base Target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FE04C297-51F7-42F9-961B-85A41A3A0F26}" autoFormatId="16" applyNumberFormats="0" applyBorderFormats="0" applyFontFormats="0" applyPatternFormats="0" applyAlignmentFormats="0" applyWidthHeightFormats="0">
  <queryTableRefresh nextId="2">
    <queryTableFields count="1">
      <queryTableField id="1" name="Base Actual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33708-2ABE-4165-8D90-AFACC772D395}" name="elbow_target_angles" displayName="elbow_target_angles" ref="A1:A46" tableType="queryTable" totalsRowShown="0" headerRowDxfId="11" dataDxfId="10">
  <autoFilter ref="A1:A46" xr:uid="{B9433708-2ABE-4165-8D90-AFACC772D395}"/>
  <tableColumns count="1">
    <tableColumn id="1" xr3:uid="{C77734E8-6A27-4DD5-AA8D-6CB2635197F2}" uniqueName="1" name="Elbow Target" queryTableFieldId="1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9E946D-11F9-4DBE-BE0E-CAD81663B280}" name="elbow_actual_angles" displayName="elbow_actual_angles" ref="B1:B46" tableType="queryTable" totalsRowShown="0" headerRowDxfId="9" dataDxfId="8">
  <autoFilter ref="B1:B46" xr:uid="{519E946D-11F9-4DBE-BE0E-CAD81663B280}"/>
  <tableColumns count="1">
    <tableColumn id="1" xr3:uid="{868783FD-166B-4880-8B61-E10A6B5ABEDD}" uniqueName="1" name="Elbow Actual" queryTableFieldId="1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A2B5DF-4605-4D8B-B977-20E4D28F174C}" name="base_target_angles" displayName="base_target_angles" ref="C1:C46" tableType="queryTable" totalsRowShown="0" headerRowDxfId="7" dataDxfId="6">
  <autoFilter ref="C1:C46" xr:uid="{31A2B5DF-4605-4D8B-B977-20E4D28F174C}"/>
  <tableColumns count="1">
    <tableColumn id="1" xr3:uid="{C0273A9A-EFD1-4D10-9EB9-419FA8F0DC98}" uniqueName="1" name="Base Target" queryTableFieldId="1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6AE7C7-118B-4D47-A57C-FB2DD9372A20}" name="base_actual_angles" displayName="base_actual_angles" ref="D1:D46" tableType="queryTable" totalsRowShown="0" headerRowDxfId="5" dataDxfId="4">
  <autoFilter ref="D1:D46" xr:uid="{FE6AE7C7-118B-4D47-A57C-FB2DD9372A20}"/>
  <tableColumns count="1">
    <tableColumn id="1" xr3:uid="{C9A42F6E-B6FC-4949-A788-374CD1248E68}" uniqueName="1" name="Base Actual" queryTableFieldId="1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993D8-6606-44CE-9DC9-112E46A34630}">
  <dimension ref="A1:N301"/>
  <sheetViews>
    <sheetView workbookViewId="0">
      <selection activeCell="F10" sqref="F10"/>
    </sheetView>
  </sheetViews>
  <sheetFormatPr defaultRowHeight="15" x14ac:dyDescent="0.25"/>
  <cols>
    <col min="1" max="1" width="16.7109375" style="3" bestFit="1" customWidth="1"/>
    <col min="2" max="2" width="16.85546875" style="3" bestFit="1" customWidth="1"/>
    <col min="3" max="3" width="15.7109375" style="3" bestFit="1" customWidth="1"/>
    <col min="4" max="4" width="15.85546875" style="3" bestFit="1" customWidth="1"/>
    <col min="8" max="9" width="11.7109375" style="2" bestFit="1" customWidth="1"/>
    <col min="11" max="11" width="11.7109375" customWidth="1"/>
  </cols>
  <sheetData>
    <row r="1" spans="1:9" x14ac:dyDescent="0.25">
      <c r="A1" s="1" t="s">
        <v>11</v>
      </c>
      <c r="B1" s="1" t="s">
        <v>12</v>
      </c>
      <c r="C1" s="1" t="s">
        <v>13</v>
      </c>
      <c r="D1" s="1" t="s">
        <v>14</v>
      </c>
      <c r="H1"/>
      <c r="I1"/>
    </row>
    <row r="2" spans="1:9" x14ac:dyDescent="0.25">
      <c r="A2" s="3">
        <v>142.44749999999999</v>
      </c>
      <c r="B2" s="3">
        <v>133.9</v>
      </c>
      <c r="C2" s="3">
        <v>0</v>
      </c>
      <c r="D2" s="3">
        <v>2.64</v>
      </c>
      <c r="H2"/>
      <c r="I2"/>
    </row>
    <row r="3" spans="1:9" x14ac:dyDescent="0.25">
      <c r="A3" s="3">
        <v>142.44749999999999</v>
      </c>
      <c r="B3" s="3">
        <v>136.1</v>
      </c>
      <c r="C3" s="3">
        <v>0</v>
      </c>
      <c r="D3" s="3">
        <v>2.64</v>
      </c>
      <c r="H3"/>
      <c r="I3"/>
    </row>
    <row r="4" spans="1:9" x14ac:dyDescent="0.25">
      <c r="A4" s="3">
        <v>142.44749999999999</v>
      </c>
      <c r="B4" s="3">
        <v>136.1</v>
      </c>
      <c r="C4" s="3">
        <v>0</v>
      </c>
      <c r="D4" s="3">
        <v>2.64</v>
      </c>
      <c r="H4"/>
      <c r="I4"/>
    </row>
    <row r="5" spans="1:9" x14ac:dyDescent="0.25">
      <c r="A5" s="3">
        <v>142.44749999999999</v>
      </c>
      <c r="B5" s="3">
        <v>136.1</v>
      </c>
      <c r="C5" s="3">
        <v>0</v>
      </c>
      <c r="D5" s="3">
        <v>2.64</v>
      </c>
      <c r="H5"/>
      <c r="I5"/>
    </row>
    <row r="6" spans="1:9" x14ac:dyDescent="0.25">
      <c r="A6" s="3">
        <v>142.44749999999999</v>
      </c>
      <c r="B6" s="3">
        <v>138.91</v>
      </c>
      <c r="C6" s="3">
        <v>0</v>
      </c>
      <c r="D6" s="3">
        <v>2.64</v>
      </c>
      <c r="H6"/>
      <c r="I6"/>
    </row>
    <row r="7" spans="1:9" x14ac:dyDescent="0.25">
      <c r="A7" s="3">
        <v>142.44749999999999</v>
      </c>
      <c r="B7" s="3">
        <v>139.79</v>
      </c>
      <c r="C7" s="3">
        <v>0</v>
      </c>
      <c r="D7" s="3">
        <v>2.64</v>
      </c>
      <c r="H7"/>
      <c r="I7"/>
    </row>
    <row r="8" spans="1:9" x14ac:dyDescent="0.25">
      <c r="A8" s="3">
        <v>142.44749999999999</v>
      </c>
      <c r="B8" s="3">
        <v>139.79</v>
      </c>
      <c r="C8" s="3">
        <v>0</v>
      </c>
      <c r="D8" s="3">
        <v>2.64</v>
      </c>
      <c r="H8"/>
      <c r="I8"/>
    </row>
    <row r="9" spans="1:9" x14ac:dyDescent="0.25">
      <c r="A9" s="3">
        <v>142.44749999999999</v>
      </c>
      <c r="B9" s="3">
        <v>139.79</v>
      </c>
      <c r="C9" s="3">
        <v>0</v>
      </c>
      <c r="D9" s="3">
        <v>2.64</v>
      </c>
      <c r="H9"/>
      <c r="I9"/>
    </row>
    <row r="10" spans="1:9" x14ac:dyDescent="0.25">
      <c r="A10" s="3">
        <v>142.44749999999999</v>
      </c>
      <c r="B10" s="3">
        <v>139.79</v>
      </c>
      <c r="C10" s="3">
        <v>0</v>
      </c>
      <c r="D10" s="3">
        <v>2.64</v>
      </c>
      <c r="H10"/>
      <c r="I10"/>
    </row>
    <row r="11" spans="1:9" x14ac:dyDescent="0.25">
      <c r="A11" s="3">
        <v>142.44749999999999</v>
      </c>
      <c r="B11" s="3">
        <v>139.79</v>
      </c>
      <c r="C11" s="3">
        <v>0</v>
      </c>
      <c r="D11" s="3">
        <v>2.64</v>
      </c>
      <c r="H11"/>
      <c r="I11"/>
    </row>
    <row r="12" spans="1:9" x14ac:dyDescent="0.25">
      <c r="A12" s="3">
        <v>142.44749999999999</v>
      </c>
      <c r="B12" s="3">
        <v>139.69999999999999</v>
      </c>
      <c r="C12" s="3">
        <v>0</v>
      </c>
      <c r="D12" s="3">
        <v>2.64</v>
      </c>
      <c r="H12"/>
      <c r="I12"/>
    </row>
    <row r="13" spans="1:9" x14ac:dyDescent="0.25">
      <c r="A13" s="3">
        <v>142.44749999999999</v>
      </c>
      <c r="B13" s="3">
        <v>139.69999999999999</v>
      </c>
      <c r="C13" s="3">
        <v>0</v>
      </c>
      <c r="D13" s="3">
        <v>2.64</v>
      </c>
      <c r="H13"/>
      <c r="I13"/>
    </row>
    <row r="14" spans="1:9" x14ac:dyDescent="0.25">
      <c r="A14" s="3">
        <v>142.44749999999999</v>
      </c>
      <c r="B14" s="3">
        <v>139.69999999999999</v>
      </c>
      <c r="C14" s="3">
        <v>0</v>
      </c>
      <c r="D14" s="3">
        <v>2.64</v>
      </c>
      <c r="H14"/>
      <c r="I14"/>
    </row>
    <row r="15" spans="1:9" x14ac:dyDescent="0.25">
      <c r="A15" s="3">
        <v>142.44749999999999</v>
      </c>
      <c r="B15" s="3">
        <v>139.69999999999999</v>
      </c>
      <c r="C15" s="3">
        <v>0</v>
      </c>
      <c r="D15" s="3">
        <v>2.64</v>
      </c>
      <c r="H15"/>
      <c r="I15"/>
    </row>
    <row r="16" spans="1:9" x14ac:dyDescent="0.25">
      <c r="A16" s="3">
        <v>143.78219999999999</v>
      </c>
      <c r="B16" s="3">
        <v>140.49</v>
      </c>
      <c r="C16" s="3">
        <v>0</v>
      </c>
      <c r="D16" s="3">
        <v>2.64</v>
      </c>
      <c r="H16"/>
      <c r="I16"/>
    </row>
    <row r="17" spans="1:14" x14ac:dyDescent="0.25">
      <c r="A17" s="3">
        <v>145.0917</v>
      </c>
      <c r="B17" s="3">
        <v>140.49</v>
      </c>
      <c r="C17" s="3">
        <v>0</v>
      </c>
      <c r="D17" s="3">
        <v>2.64</v>
      </c>
      <c r="H17"/>
      <c r="I17"/>
    </row>
    <row r="18" spans="1:14" x14ac:dyDescent="0.25">
      <c r="A18" s="3">
        <v>146.3741</v>
      </c>
      <c r="B18" s="3">
        <v>142.96</v>
      </c>
      <c r="C18" s="3">
        <v>0</v>
      </c>
      <c r="D18" s="3">
        <v>2.64</v>
      </c>
      <c r="H18"/>
      <c r="I18"/>
    </row>
    <row r="19" spans="1:14" x14ac:dyDescent="0.25">
      <c r="A19" s="3">
        <v>147.62729999999999</v>
      </c>
      <c r="B19" s="3">
        <v>142.96</v>
      </c>
      <c r="C19" s="3">
        <v>0</v>
      </c>
      <c r="D19" s="3">
        <v>2.64</v>
      </c>
      <c r="H19"/>
      <c r="I19"/>
    </row>
    <row r="20" spans="1:14" x14ac:dyDescent="0.25">
      <c r="A20" s="3">
        <v>148.84880000000001</v>
      </c>
      <c r="B20" s="3">
        <v>145.07</v>
      </c>
      <c r="C20" s="3">
        <v>0</v>
      </c>
      <c r="D20" s="3">
        <v>2.64</v>
      </c>
      <c r="H20"/>
      <c r="I20"/>
    </row>
    <row r="21" spans="1:14" x14ac:dyDescent="0.25">
      <c r="A21" s="3">
        <v>150.0359</v>
      </c>
      <c r="B21" s="3">
        <v>147.18</v>
      </c>
      <c r="C21" s="3">
        <v>0</v>
      </c>
      <c r="D21" s="3">
        <v>2.64</v>
      </c>
      <c r="H21"/>
      <c r="I21"/>
    </row>
    <row r="22" spans="1:14" x14ac:dyDescent="0.25">
      <c r="A22" s="3">
        <v>151.18510000000001</v>
      </c>
      <c r="B22" s="3">
        <v>147.18</v>
      </c>
      <c r="C22" s="3">
        <v>0</v>
      </c>
      <c r="D22" s="3">
        <v>2.64</v>
      </c>
      <c r="H22"/>
      <c r="I22"/>
    </row>
    <row r="23" spans="1:14" x14ac:dyDescent="0.25">
      <c r="A23" s="3">
        <v>152.2927</v>
      </c>
      <c r="B23" s="3">
        <v>147.18</v>
      </c>
      <c r="C23" s="3">
        <v>0</v>
      </c>
      <c r="D23" s="3">
        <v>2.64</v>
      </c>
      <c r="H23"/>
      <c r="I23"/>
    </row>
    <row r="24" spans="1:14" x14ac:dyDescent="0.25">
      <c r="A24" s="3">
        <v>153.3544</v>
      </c>
      <c r="B24" s="3">
        <v>149.19999999999999</v>
      </c>
      <c r="C24" s="3">
        <v>0</v>
      </c>
      <c r="D24" s="3">
        <v>2.64</v>
      </c>
      <c r="H24"/>
      <c r="I24"/>
    </row>
    <row r="25" spans="1:14" x14ac:dyDescent="0.25">
      <c r="A25" s="3">
        <v>154.36529999999999</v>
      </c>
      <c r="B25" s="3">
        <v>151.31</v>
      </c>
      <c r="C25" s="3">
        <v>0</v>
      </c>
      <c r="D25" s="3">
        <v>2.64</v>
      </c>
      <c r="H25"/>
      <c r="I25"/>
    </row>
    <row r="26" spans="1:14" x14ac:dyDescent="0.25">
      <c r="A26" s="3">
        <v>155.3201</v>
      </c>
      <c r="B26" s="3">
        <v>151.31</v>
      </c>
      <c r="C26" s="3">
        <v>0</v>
      </c>
      <c r="D26" s="3">
        <v>2.64</v>
      </c>
      <c r="H26"/>
      <c r="I26"/>
    </row>
    <row r="27" spans="1:14" x14ac:dyDescent="0.25">
      <c r="A27" s="3">
        <v>155.3201</v>
      </c>
      <c r="B27" s="3">
        <v>151.31</v>
      </c>
      <c r="C27" s="3">
        <v>0</v>
      </c>
      <c r="D27" s="3">
        <v>2.64</v>
      </c>
      <c r="H27"/>
      <c r="I27"/>
    </row>
    <row r="28" spans="1:14" x14ac:dyDescent="0.25">
      <c r="A28" s="3">
        <v>155.3201</v>
      </c>
      <c r="B28" s="3">
        <v>152.71</v>
      </c>
      <c r="C28" s="3">
        <v>0</v>
      </c>
      <c r="D28" s="3">
        <v>2.64</v>
      </c>
      <c r="H28"/>
      <c r="I28"/>
    </row>
    <row r="29" spans="1:14" x14ac:dyDescent="0.25">
      <c r="A29" s="3">
        <v>155.3201</v>
      </c>
      <c r="B29" s="3">
        <v>152.80000000000001</v>
      </c>
      <c r="C29" s="3">
        <v>0</v>
      </c>
      <c r="D29" s="3">
        <v>2.64</v>
      </c>
      <c r="H29"/>
      <c r="I29"/>
    </row>
    <row r="30" spans="1:14" x14ac:dyDescent="0.25">
      <c r="A30" s="3">
        <v>155.3201</v>
      </c>
      <c r="B30" s="3">
        <v>152.80000000000001</v>
      </c>
      <c r="C30" s="3">
        <v>0</v>
      </c>
      <c r="D30" s="3">
        <v>2.64</v>
      </c>
      <c r="H30"/>
      <c r="I30"/>
    </row>
    <row r="31" spans="1:14" x14ac:dyDescent="0.25">
      <c r="A31" s="3">
        <v>155.3201</v>
      </c>
      <c r="B31" s="3">
        <v>152.71</v>
      </c>
      <c r="C31" s="3">
        <v>0</v>
      </c>
      <c r="D31" s="3">
        <v>2.64</v>
      </c>
      <c r="H31"/>
      <c r="I31" t="s">
        <v>0</v>
      </c>
      <c r="J31">
        <v>140</v>
      </c>
      <c r="L31" t="s">
        <v>8</v>
      </c>
      <c r="N31">
        <f>1/3 * 0.509*0.381*0.381</f>
        <v>2.4628982999999997E-2</v>
      </c>
    </row>
    <row r="32" spans="1:14" x14ac:dyDescent="0.25">
      <c r="A32" s="3">
        <v>155.3201</v>
      </c>
      <c r="B32" s="3">
        <v>152.71</v>
      </c>
      <c r="C32" s="3">
        <v>0</v>
      </c>
      <c r="D32" s="3">
        <v>2.64</v>
      </c>
      <c r="H32"/>
      <c r="I32" t="s">
        <v>1</v>
      </c>
      <c r="J32">
        <v>35</v>
      </c>
      <c r="L32" t="s">
        <v>9</v>
      </c>
      <c r="N32">
        <v>4.9459999999999997E-2</v>
      </c>
    </row>
    <row r="33" spans="1:14" x14ac:dyDescent="0.25">
      <c r="A33" s="3">
        <v>155.3201</v>
      </c>
      <c r="B33" s="3">
        <v>152.71</v>
      </c>
      <c r="C33" s="3">
        <v>0</v>
      </c>
      <c r="D33" s="3">
        <v>2.64</v>
      </c>
      <c r="H33"/>
      <c r="I33" t="s">
        <v>2</v>
      </c>
      <c r="J33">
        <v>35</v>
      </c>
    </row>
    <row r="34" spans="1:14" x14ac:dyDescent="0.25">
      <c r="A34" s="3">
        <v>155.3201</v>
      </c>
      <c r="B34" s="3">
        <v>152.80000000000001</v>
      </c>
      <c r="C34" s="3">
        <v>0</v>
      </c>
      <c r="D34" s="3">
        <v>2.64</v>
      </c>
      <c r="H34"/>
      <c r="I34" t="s">
        <v>3</v>
      </c>
      <c r="J34">
        <v>82</v>
      </c>
      <c r="L34" t="s">
        <v>10</v>
      </c>
      <c r="N34">
        <f>3.8/2.3</f>
        <v>1.6521739130434783</v>
      </c>
    </row>
    <row r="35" spans="1:14" x14ac:dyDescent="0.25">
      <c r="A35" s="3">
        <v>155.3201</v>
      </c>
      <c r="B35" s="3">
        <v>152.80000000000001</v>
      </c>
      <c r="C35" s="3">
        <v>0</v>
      </c>
      <c r="D35" s="3">
        <v>2.64</v>
      </c>
      <c r="H35"/>
      <c r="I35" t="s">
        <v>4</v>
      </c>
      <c r="J35">
        <v>65</v>
      </c>
    </row>
    <row r="36" spans="1:14" x14ac:dyDescent="0.25">
      <c r="A36" s="3">
        <v>155.3201</v>
      </c>
      <c r="B36" s="3">
        <v>152.71</v>
      </c>
      <c r="C36" s="3">
        <v>0</v>
      </c>
      <c r="D36" s="3">
        <v>2.64</v>
      </c>
      <c r="H36"/>
      <c r="I36" t="s">
        <v>5</v>
      </c>
      <c r="J36">
        <v>72</v>
      </c>
    </row>
    <row r="37" spans="1:14" x14ac:dyDescent="0.25">
      <c r="A37" s="3">
        <v>155.3201</v>
      </c>
      <c r="B37" s="3">
        <v>152.71</v>
      </c>
      <c r="C37" s="3">
        <v>0</v>
      </c>
      <c r="D37" s="3">
        <v>2.64</v>
      </c>
      <c r="H37"/>
      <c r="I37" t="s">
        <v>7</v>
      </c>
      <c r="J37">
        <v>80</v>
      </c>
    </row>
    <row r="38" spans="1:14" x14ac:dyDescent="0.25">
      <c r="A38" s="3">
        <v>155.3201</v>
      </c>
      <c r="B38" s="3">
        <v>152.71</v>
      </c>
      <c r="C38" s="3">
        <v>0</v>
      </c>
      <c r="D38" s="3">
        <v>2.64</v>
      </c>
      <c r="H38"/>
      <c r="I38"/>
    </row>
    <row r="39" spans="1:14" x14ac:dyDescent="0.25">
      <c r="A39" s="3">
        <v>155.3201</v>
      </c>
      <c r="B39" s="3">
        <v>152.71</v>
      </c>
      <c r="C39" s="3">
        <v>0</v>
      </c>
      <c r="D39" s="3">
        <v>2.64</v>
      </c>
      <c r="H39"/>
      <c r="I39" t="s">
        <v>6</v>
      </c>
      <c r="J39">
        <f>SUM(J31:J38)</f>
        <v>509</v>
      </c>
    </row>
    <row r="40" spans="1:14" x14ac:dyDescent="0.25">
      <c r="A40" s="3">
        <v>155.3201</v>
      </c>
      <c r="B40" s="3">
        <v>152.71</v>
      </c>
      <c r="C40" s="3">
        <v>0</v>
      </c>
      <c r="D40" s="3">
        <v>2.64</v>
      </c>
      <c r="H40"/>
      <c r="I40"/>
    </row>
    <row r="41" spans="1:14" x14ac:dyDescent="0.25">
      <c r="A41" s="3">
        <v>155.3201</v>
      </c>
      <c r="B41" s="3">
        <v>152.71</v>
      </c>
      <c r="C41" s="3">
        <v>0</v>
      </c>
      <c r="D41" s="3">
        <v>2.64</v>
      </c>
      <c r="H41"/>
      <c r="I41"/>
    </row>
    <row r="42" spans="1:14" x14ac:dyDescent="0.25">
      <c r="A42" s="3">
        <v>155.3201</v>
      </c>
      <c r="B42" s="3">
        <v>152.71</v>
      </c>
      <c r="C42" s="3">
        <v>0</v>
      </c>
      <c r="D42" s="3">
        <v>2.64</v>
      </c>
      <c r="H42"/>
      <c r="I42"/>
    </row>
    <row r="43" spans="1:14" x14ac:dyDescent="0.25">
      <c r="A43" s="3">
        <v>155.3201</v>
      </c>
      <c r="B43" s="3">
        <v>152.71</v>
      </c>
      <c r="C43" s="3">
        <v>0</v>
      </c>
      <c r="D43" s="3">
        <v>2.64</v>
      </c>
      <c r="H43"/>
      <c r="I43"/>
    </row>
    <row r="44" spans="1:14" x14ac:dyDescent="0.25">
      <c r="A44" s="3">
        <v>155.3201</v>
      </c>
      <c r="B44" s="3">
        <v>152.80000000000001</v>
      </c>
      <c r="C44" s="3">
        <v>0</v>
      </c>
      <c r="D44" s="3">
        <v>2.64</v>
      </c>
      <c r="H44"/>
      <c r="I44"/>
    </row>
    <row r="45" spans="1:14" x14ac:dyDescent="0.25">
      <c r="A45" s="3">
        <v>155.3201</v>
      </c>
      <c r="B45" s="3">
        <v>152.80000000000001</v>
      </c>
      <c r="C45" s="3">
        <v>0</v>
      </c>
      <c r="D45" s="3">
        <v>2.64</v>
      </c>
      <c r="H45"/>
      <c r="I45"/>
    </row>
    <row r="46" spans="1:14" x14ac:dyDescent="0.25">
      <c r="A46" s="3">
        <v>155.3201</v>
      </c>
      <c r="B46" s="3">
        <v>152.71</v>
      </c>
      <c r="C46" s="3">
        <v>0</v>
      </c>
      <c r="D46" s="3">
        <v>2.64</v>
      </c>
      <c r="H46"/>
      <c r="I46"/>
    </row>
    <row r="47" spans="1:14" x14ac:dyDescent="0.25">
      <c r="H47"/>
      <c r="I47"/>
    </row>
    <row r="48" spans="1:14" x14ac:dyDescent="0.25">
      <c r="H48"/>
      <c r="I48"/>
    </row>
    <row r="49" spans="8:9" x14ac:dyDescent="0.25">
      <c r="H49"/>
      <c r="I49"/>
    </row>
    <row r="50" spans="8:9" x14ac:dyDescent="0.25">
      <c r="H50"/>
      <c r="I50"/>
    </row>
    <row r="51" spans="8:9" x14ac:dyDescent="0.25">
      <c r="H51"/>
      <c r="I51"/>
    </row>
    <row r="52" spans="8:9" x14ac:dyDescent="0.25">
      <c r="H52"/>
      <c r="I52"/>
    </row>
    <row r="53" spans="8:9" x14ac:dyDescent="0.25">
      <c r="H53"/>
      <c r="I53"/>
    </row>
    <row r="54" spans="8:9" x14ac:dyDescent="0.25">
      <c r="H54"/>
      <c r="I54"/>
    </row>
    <row r="55" spans="8:9" x14ac:dyDescent="0.25">
      <c r="H55"/>
      <c r="I55"/>
    </row>
    <row r="56" spans="8:9" x14ac:dyDescent="0.25">
      <c r="H56"/>
      <c r="I56"/>
    </row>
    <row r="57" spans="8:9" x14ac:dyDescent="0.25">
      <c r="H57"/>
      <c r="I57"/>
    </row>
    <row r="58" spans="8:9" x14ac:dyDescent="0.25">
      <c r="H58"/>
      <c r="I58"/>
    </row>
    <row r="59" spans="8:9" x14ac:dyDescent="0.25">
      <c r="H59"/>
      <c r="I59"/>
    </row>
    <row r="60" spans="8:9" x14ac:dyDescent="0.25">
      <c r="H60"/>
      <c r="I60"/>
    </row>
    <row r="61" spans="8:9" x14ac:dyDescent="0.25">
      <c r="H61"/>
      <c r="I61"/>
    </row>
    <row r="62" spans="8:9" x14ac:dyDescent="0.25">
      <c r="H62"/>
      <c r="I62"/>
    </row>
    <row r="63" spans="8:9" x14ac:dyDescent="0.25">
      <c r="H63"/>
      <c r="I63"/>
    </row>
    <row r="64" spans="8:9" x14ac:dyDescent="0.25">
      <c r="H64"/>
      <c r="I64"/>
    </row>
    <row r="65" spans="8:9" x14ac:dyDescent="0.25">
      <c r="H65"/>
      <c r="I65"/>
    </row>
    <row r="66" spans="8:9" x14ac:dyDescent="0.25">
      <c r="H66"/>
      <c r="I66"/>
    </row>
    <row r="67" spans="8:9" x14ac:dyDescent="0.25">
      <c r="H67"/>
      <c r="I67"/>
    </row>
    <row r="68" spans="8:9" x14ac:dyDescent="0.25">
      <c r="H68"/>
      <c r="I68"/>
    </row>
    <row r="69" spans="8:9" x14ac:dyDescent="0.25">
      <c r="H69"/>
      <c r="I69"/>
    </row>
    <row r="70" spans="8:9" x14ac:dyDescent="0.25">
      <c r="H70"/>
      <c r="I70"/>
    </row>
    <row r="71" spans="8:9" x14ac:dyDescent="0.25">
      <c r="H71"/>
      <c r="I71"/>
    </row>
    <row r="72" spans="8:9" x14ac:dyDescent="0.25">
      <c r="H72"/>
      <c r="I72"/>
    </row>
    <row r="73" spans="8:9" x14ac:dyDescent="0.25">
      <c r="H73"/>
      <c r="I73"/>
    </row>
    <row r="74" spans="8:9" x14ac:dyDescent="0.25">
      <c r="H74"/>
      <c r="I74"/>
    </row>
    <row r="75" spans="8:9" x14ac:dyDescent="0.25">
      <c r="H75"/>
      <c r="I75"/>
    </row>
    <row r="76" spans="8:9" x14ac:dyDescent="0.25">
      <c r="H76"/>
      <c r="I76"/>
    </row>
    <row r="77" spans="8:9" x14ac:dyDescent="0.25">
      <c r="H77"/>
      <c r="I77"/>
    </row>
    <row r="78" spans="8:9" x14ac:dyDescent="0.25">
      <c r="H78"/>
      <c r="I78"/>
    </row>
    <row r="79" spans="8:9" x14ac:dyDescent="0.25">
      <c r="H79"/>
      <c r="I79"/>
    </row>
    <row r="80" spans="8:9" x14ac:dyDescent="0.25">
      <c r="H80"/>
      <c r="I80"/>
    </row>
    <row r="81" spans="8:9" x14ac:dyDescent="0.25">
      <c r="H81"/>
      <c r="I81"/>
    </row>
    <row r="82" spans="8:9" x14ac:dyDescent="0.25">
      <c r="H82"/>
      <c r="I82"/>
    </row>
    <row r="83" spans="8:9" x14ac:dyDescent="0.25">
      <c r="H83"/>
      <c r="I83"/>
    </row>
    <row r="84" spans="8:9" x14ac:dyDescent="0.25">
      <c r="H84"/>
      <c r="I84"/>
    </row>
    <row r="85" spans="8:9" x14ac:dyDescent="0.25">
      <c r="H85"/>
      <c r="I85"/>
    </row>
    <row r="86" spans="8:9" x14ac:dyDescent="0.25">
      <c r="H86"/>
      <c r="I86"/>
    </row>
    <row r="87" spans="8:9" x14ac:dyDescent="0.25">
      <c r="H87"/>
      <c r="I87"/>
    </row>
    <row r="88" spans="8:9" x14ac:dyDescent="0.25">
      <c r="H88"/>
      <c r="I88"/>
    </row>
    <row r="89" spans="8:9" x14ac:dyDescent="0.25">
      <c r="H89"/>
      <c r="I89"/>
    </row>
    <row r="90" spans="8:9" x14ac:dyDescent="0.25">
      <c r="H90"/>
      <c r="I90"/>
    </row>
    <row r="91" spans="8:9" x14ac:dyDescent="0.25">
      <c r="H91"/>
      <c r="I91"/>
    </row>
    <row r="92" spans="8:9" x14ac:dyDescent="0.25">
      <c r="H92"/>
      <c r="I92"/>
    </row>
    <row r="93" spans="8:9" x14ac:dyDescent="0.25">
      <c r="H93"/>
      <c r="I93"/>
    </row>
    <row r="94" spans="8:9" x14ac:dyDescent="0.25">
      <c r="H94"/>
      <c r="I94"/>
    </row>
    <row r="95" spans="8:9" x14ac:dyDescent="0.25">
      <c r="H95"/>
      <c r="I95"/>
    </row>
    <row r="96" spans="8:9" x14ac:dyDescent="0.25">
      <c r="H96"/>
      <c r="I96"/>
    </row>
    <row r="97" spans="8:9" x14ac:dyDescent="0.25">
      <c r="H97"/>
      <c r="I97"/>
    </row>
    <row r="98" spans="8:9" x14ac:dyDescent="0.25">
      <c r="H98"/>
      <c r="I98"/>
    </row>
    <row r="99" spans="8:9" x14ac:dyDescent="0.25">
      <c r="H99"/>
      <c r="I99"/>
    </row>
    <row r="100" spans="8:9" x14ac:dyDescent="0.25">
      <c r="H100"/>
      <c r="I100"/>
    </row>
    <row r="101" spans="8:9" x14ac:dyDescent="0.25">
      <c r="H101"/>
      <c r="I101"/>
    </row>
    <row r="102" spans="8:9" x14ac:dyDescent="0.25">
      <c r="H102"/>
      <c r="I102"/>
    </row>
    <row r="103" spans="8:9" x14ac:dyDescent="0.25">
      <c r="H103"/>
      <c r="I103"/>
    </row>
    <row r="104" spans="8:9" x14ac:dyDescent="0.25">
      <c r="H104"/>
      <c r="I104"/>
    </row>
    <row r="105" spans="8:9" x14ac:dyDescent="0.25">
      <c r="H105"/>
      <c r="I105"/>
    </row>
    <row r="106" spans="8:9" x14ac:dyDescent="0.25">
      <c r="H106"/>
      <c r="I106"/>
    </row>
    <row r="107" spans="8:9" x14ac:dyDescent="0.25">
      <c r="H107"/>
      <c r="I107"/>
    </row>
    <row r="108" spans="8:9" x14ac:dyDescent="0.25">
      <c r="H108"/>
      <c r="I108"/>
    </row>
    <row r="109" spans="8:9" x14ac:dyDescent="0.25">
      <c r="H109"/>
      <c r="I109"/>
    </row>
    <row r="110" spans="8:9" x14ac:dyDescent="0.25">
      <c r="H110"/>
      <c r="I110"/>
    </row>
    <row r="111" spans="8:9" x14ac:dyDescent="0.25">
      <c r="H111"/>
      <c r="I111"/>
    </row>
    <row r="112" spans="8:9" x14ac:dyDescent="0.25">
      <c r="H112"/>
      <c r="I112"/>
    </row>
    <row r="113" spans="8:9" x14ac:dyDescent="0.25">
      <c r="H113"/>
      <c r="I113"/>
    </row>
    <row r="114" spans="8:9" x14ac:dyDescent="0.25">
      <c r="H114"/>
      <c r="I114"/>
    </row>
    <row r="115" spans="8:9" x14ac:dyDescent="0.25">
      <c r="H115"/>
      <c r="I115"/>
    </row>
    <row r="116" spans="8:9" x14ac:dyDescent="0.25">
      <c r="H116"/>
      <c r="I116"/>
    </row>
    <row r="117" spans="8:9" x14ac:dyDescent="0.25">
      <c r="H117"/>
      <c r="I117"/>
    </row>
    <row r="118" spans="8:9" x14ac:dyDescent="0.25">
      <c r="H118"/>
      <c r="I118"/>
    </row>
    <row r="119" spans="8:9" x14ac:dyDescent="0.25">
      <c r="H119"/>
      <c r="I119"/>
    </row>
    <row r="120" spans="8:9" x14ac:dyDescent="0.25">
      <c r="H120"/>
      <c r="I120"/>
    </row>
    <row r="121" spans="8:9" x14ac:dyDescent="0.25">
      <c r="H121"/>
      <c r="I121"/>
    </row>
    <row r="122" spans="8:9" x14ac:dyDescent="0.25">
      <c r="H122"/>
      <c r="I122"/>
    </row>
    <row r="123" spans="8:9" x14ac:dyDescent="0.25">
      <c r="H123"/>
      <c r="I123"/>
    </row>
    <row r="124" spans="8:9" x14ac:dyDescent="0.25">
      <c r="H124"/>
      <c r="I124"/>
    </row>
    <row r="125" spans="8:9" x14ac:dyDescent="0.25">
      <c r="H125"/>
      <c r="I125"/>
    </row>
    <row r="126" spans="8:9" x14ac:dyDescent="0.25">
      <c r="H126"/>
      <c r="I126"/>
    </row>
    <row r="127" spans="8:9" x14ac:dyDescent="0.25">
      <c r="H127"/>
      <c r="I127"/>
    </row>
    <row r="128" spans="8:9" x14ac:dyDescent="0.25">
      <c r="H128"/>
      <c r="I128"/>
    </row>
    <row r="129" spans="8:9" x14ac:dyDescent="0.25">
      <c r="H129"/>
      <c r="I129"/>
    </row>
    <row r="130" spans="8:9" x14ac:dyDescent="0.25">
      <c r="H130"/>
      <c r="I130"/>
    </row>
    <row r="131" spans="8:9" x14ac:dyDescent="0.25">
      <c r="H131"/>
      <c r="I131"/>
    </row>
    <row r="132" spans="8:9" x14ac:dyDescent="0.25">
      <c r="H132"/>
      <c r="I132"/>
    </row>
    <row r="133" spans="8:9" x14ac:dyDescent="0.25">
      <c r="H133"/>
      <c r="I133"/>
    </row>
    <row r="134" spans="8:9" x14ac:dyDescent="0.25">
      <c r="H134"/>
      <c r="I134"/>
    </row>
    <row r="135" spans="8:9" x14ac:dyDescent="0.25">
      <c r="H135"/>
      <c r="I135"/>
    </row>
    <row r="136" spans="8:9" x14ac:dyDescent="0.25">
      <c r="H136"/>
      <c r="I136"/>
    </row>
    <row r="137" spans="8:9" x14ac:dyDescent="0.25">
      <c r="H137"/>
      <c r="I137"/>
    </row>
    <row r="138" spans="8:9" x14ac:dyDescent="0.25">
      <c r="H138"/>
      <c r="I138"/>
    </row>
    <row r="139" spans="8:9" x14ac:dyDescent="0.25">
      <c r="H139"/>
      <c r="I139"/>
    </row>
    <row r="140" spans="8:9" x14ac:dyDescent="0.25">
      <c r="H140"/>
      <c r="I140"/>
    </row>
    <row r="141" spans="8:9" x14ac:dyDescent="0.25">
      <c r="H141"/>
      <c r="I141"/>
    </row>
    <row r="142" spans="8:9" x14ac:dyDescent="0.25">
      <c r="H142"/>
      <c r="I142"/>
    </row>
    <row r="143" spans="8:9" x14ac:dyDescent="0.25">
      <c r="H143"/>
      <c r="I143"/>
    </row>
    <row r="144" spans="8:9" x14ac:dyDescent="0.25">
      <c r="H144"/>
      <c r="I144"/>
    </row>
    <row r="145" spans="8:9" x14ac:dyDescent="0.25">
      <c r="H145"/>
      <c r="I145"/>
    </row>
    <row r="146" spans="8:9" x14ac:dyDescent="0.25">
      <c r="H146"/>
      <c r="I146"/>
    </row>
    <row r="147" spans="8:9" x14ac:dyDescent="0.25">
      <c r="H147"/>
      <c r="I147"/>
    </row>
    <row r="148" spans="8:9" x14ac:dyDescent="0.25">
      <c r="H148"/>
      <c r="I148"/>
    </row>
    <row r="149" spans="8:9" x14ac:dyDescent="0.25">
      <c r="H149"/>
      <c r="I149"/>
    </row>
    <row r="150" spans="8:9" x14ac:dyDescent="0.25">
      <c r="H150"/>
      <c r="I150"/>
    </row>
    <row r="151" spans="8:9" x14ac:dyDescent="0.25">
      <c r="H151"/>
      <c r="I151"/>
    </row>
    <row r="152" spans="8:9" x14ac:dyDescent="0.25">
      <c r="H152"/>
      <c r="I152"/>
    </row>
    <row r="153" spans="8:9" x14ac:dyDescent="0.25">
      <c r="H153"/>
      <c r="I153"/>
    </row>
    <row r="154" spans="8:9" x14ac:dyDescent="0.25">
      <c r="H154"/>
      <c r="I154"/>
    </row>
    <row r="155" spans="8:9" x14ac:dyDescent="0.25">
      <c r="H155"/>
      <c r="I155"/>
    </row>
    <row r="156" spans="8:9" x14ac:dyDescent="0.25">
      <c r="H156"/>
      <c r="I156"/>
    </row>
    <row r="157" spans="8:9" x14ac:dyDescent="0.25">
      <c r="H157"/>
      <c r="I157"/>
    </row>
    <row r="158" spans="8:9" x14ac:dyDescent="0.25">
      <c r="H158"/>
      <c r="I158"/>
    </row>
    <row r="159" spans="8:9" x14ac:dyDescent="0.25">
      <c r="H159"/>
      <c r="I159"/>
    </row>
    <row r="160" spans="8:9" x14ac:dyDescent="0.25">
      <c r="H160"/>
      <c r="I160"/>
    </row>
    <row r="161" spans="8:9" x14ac:dyDescent="0.25">
      <c r="H161"/>
      <c r="I161"/>
    </row>
    <row r="162" spans="8:9" x14ac:dyDescent="0.25">
      <c r="H162"/>
      <c r="I162"/>
    </row>
    <row r="163" spans="8:9" x14ac:dyDescent="0.25">
      <c r="H163"/>
      <c r="I163"/>
    </row>
    <row r="164" spans="8:9" x14ac:dyDescent="0.25">
      <c r="H164"/>
      <c r="I164"/>
    </row>
    <row r="165" spans="8:9" x14ac:dyDescent="0.25">
      <c r="H165"/>
      <c r="I165"/>
    </row>
    <row r="166" spans="8:9" x14ac:dyDescent="0.25">
      <c r="H166"/>
      <c r="I166"/>
    </row>
    <row r="167" spans="8:9" x14ac:dyDescent="0.25">
      <c r="H167"/>
      <c r="I167"/>
    </row>
    <row r="168" spans="8:9" x14ac:dyDescent="0.25">
      <c r="H168"/>
      <c r="I168"/>
    </row>
    <row r="169" spans="8:9" x14ac:dyDescent="0.25">
      <c r="H169"/>
      <c r="I169"/>
    </row>
    <row r="170" spans="8:9" x14ac:dyDescent="0.25">
      <c r="H170"/>
      <c r="I170"/>
    </row>
    <row r="171" spans="8:9" x14ac:dyDescent="0.25">
      <c r="H171"/>
      <c r="I171"/>
    </row>
    <row r="172" spans="8:9" x14ac:dyDescent="0.25">
      <c r="H172"/>
      <c r="I172"/>
    </row>
    <row r="173" spans="8:9" x14ac:dyDescent="0.25">
      <c r="H173"/>
      <c r="I173"/>
    </row>
    <row r="174" spans="8:9" x14ac:dyDescent="0.25">
      <c r="H174"/>
      <c r="I174"/>
    </row>
    <row r="175" spans="8:9" x14ac:dyDescent="0.25">
      <c r="H175"/>
      <c r="I175"/>
    </row>
    <row r="176" spans="8:9" x14ac:dyDescent="0.25">
      <c r="H176"/>
      <c r="I176"/>
    </row>
    <row r="177" spans="8:9" x14ac:dyDescent="0.25">
      <c r="H177"/>
      <c r="I177"/>
    </row>
    <row r="178" spans="8:9" x14ac:dyDescent="0.25">
      <c r="H178"/>
      <c r="I178"/>
    </row>
    <row r="179" spans="8:9" x14ac:dyDescent="0.25">
      <c r="H179"/>
      <c r="I179"/>
    </row>
    <row r="180" spans="8:9" x14ac:dyDescent="0.25">
      <c r="H180"/>
      <c r="I180"/>
    </row>
    <row r="181" spans="8:9" x14ac:dyDescent="0.25">
      <c r="H181"/>
      <c r="I181"/>
    </row>
    <row r="182" spans="8:9" x14ac:dyDescent="0.25">
      <c r="H182"/>
      <c r="I182"/>
    </row>
    <row r="183" spans="8:9" x14ac:dyDescent="0.25">
      <c r="H183"/>
      <c r="I183"/>
    </row>
    <row r="184" spans="8:9" x14ac:dyDescent="0.25">
      <c r="H184"/>
      <c r="I184"/>
    </row>
    <row r="185" spans="8:9" x14ac:dyDescent="0.25">
      <c r="H185"/>
      <c r="I185"/>
    </row>
    <row r="186" spans="8:9" x14ac:dyDescent="0.25">
      <c r="H186"/>
      <c r="I186"/>
    </row>
    <row r="187" spans="8:9" x14ac:dyDescent="0.25">
      <c r="H187"/>
      <c r="I187"/>
    </row>
    <row r="188" spans="8:9" x14ac:dyDescent="0.25">
      <c r="H188"/>
      <c r="I188"/>
    </row>
    <row r="189" spans="8:9" x14ac:dyDescent="0.25">
      <c r="H189"/>
      <c r="I189"/>
    </row>
    <row r="190" spans="8:9" x14ac:dyDescent="0.25">
      <c r="H190"/>
      <c r="I190"/>
    </row>
    <row r="191" spans="8:9" x14ac:dyDescent="0.25">
      <c r="H191"/>
      <c r="I191"/>
    </row>
    <row r="192" spans="8:9" x14ac:dyDescent="0.25">
      <c r="H192"/>
      <c r="I192"/>
    </row>
    <row r="193" spans="8:9" x14ac:dyDescent="0.25">
      <c r="H193"/>
      <c r="I193"/>
    </row>
    <row r="194" spans="8:9" x14ac:dyDescent="0.25">
      <c r="H194"/>
      <c r="I194"/>
    </row>
    <row r="195" spans="8:9" x14ac:dyDescent="0.25">
      <c r="H195"/>
      <c r="I195"/>
    </row>
    <row r="196" spans="8:9" x14ac:dyDescent="0.25">
      <c r="H196"/>
      <c r="I196"/>
    </row>
    <row r="197" spans="8:9" x14ac:dyDescent="0.25">
      <c r="H197"/>
      <c r="I197"/>
    </row>
    <row r="198" spans="8:9" x14ac:dyDescent="0.25">
      <c r="H198"/>
      <c r="I198"/>
    </row>
    <row r="199" spans="8:9" x14ac:dyDescent="0.25">
      <c r="H199"/>
      <c r="I199"/>
    </row>
    <row r="200" spans="8:9" x14ac:dyDescent="0.25">
      <c r="H200"/>
      <c r="I200"/>
    </row>
    <row r="201" spans="8:9" x14ac:dyDescent="0.25">
      <c r="H201"/>
      <c r="I201"/>
    </row>
    <row r="202" spans="8:9" x14ac:dyDescent="0.25">
      <c r="H202"/>
      <c r="I202"/>
    </row>
    <row r="203" spans="8:9" x14ac:dyDescent="0.25">
      <c r="H203"/>
      <c r="I203"/>
    </row>
    <row r="204" spans="8:9" x14ac:dyDescent="0.25">
      <c r="H204"/>
      <c r="I204"/>
    </row>
    <row r="205" spans="8:9" x14ac:dyDescent="0.25">
      <c r="H205"/>
      <c r="I205"/>
    </row>
    <row r="206" spans="8:9" x14ac:dyDescent="0.25">
      <c r="H206"/>
      <c r="I206"/>
    </row>
    <row r="207" spans="8:9" x14ac:dyDescent="0.25">
      <c r="H207"/>
      <c r="I207"/>
    </row>
    <row r="208" spans="8:9" x14ac:dyDescent="0.25">
      <c r="H208"/>
      <c r="I208"/>
    </row>
    <row r="209" spans="8:9" x14ac:dyDescent="0.25">
      <c r="H209"/>
      <c r="I209"/>
    </row>
    <row r="210" spans="8:9" x14ac:dyDescent="0.25">
      <c r="H210"/>
      <c r="I210"/>
    </row>
    <row r="211" spans="8:9" x14ac:dyDescent="0.25">
      <c r="H211"/>
      <c r="I211"/>
    </row>
    <row r="212" spans="8:9" x14ac:dyDescent="0.25">
      <c r="H212"/>
      <c r="I212"/>
    </row>
    <row r="213" spans="8:9" x14ac:dyDescent="0.25">
      <c r="H213"/>
      <c r="I213"/>
    </row>
    <row r="214" spans="8:9" x14ac:dyDescent="0.25">
      <c r="H214"/>
      <c r="I214"/>
    </row>
    <row r="215" spans="8:9" x14ac:dyDescent="0.25">
      <c r="H215"/>
      <c r="I215"/>
    </row>
    <row r="216" spans="8:9" x14ac:dyDescent="0.25">
      <c r="H216"/>
      <c r="I216"/>
    </row>
    <row r="217" spans="8:9" x14ac:dyDescent="0.25">
      <c r="H217"/>
      <c r="I217"/>
    </row>
    <row r="218" spans="8:9" x14ac:dyDescent="0.25">
      <c r="H218"/>
      <c r="I218"/>
    </row>
    <row r="219" spans="8:9" x14ac:dyDescent="0.25">
      <c r="H219"/>
      <c r="I219"/>
    </row>
    <row r="220" spans="8:9" x14ac:dyDescent="0.25">
      <c r="H220"/>
      <c r="I220"/>
    </row>
    <row r="221" spans="8:9" x14ac:dyDescent="0.25">
      <c r="H221"/>
      <c r="I221"/>
    </row>
    <row r="222" spans="8:9" x14ac:dyDescent="0.25">
      <c r="H222"/>
      <c r="I222"/>
    </row>
    <row r="223" spans="8:9" x14ac:dyDescent="0.25">
      <c r="H223"/>
      <c r="I223"/>
    </row>
    <row r="224" spans="8:9" x14ac:dyDescent="0.25">
      <c r="H224"/>
      <c r="I224"/>
    </row>
    <row r="225" spans="8:9" x14ac:dyDescent="0.25">
      <c r="H225"/>
      <c r="I225"/>
    </row>
    <row r="226" spans="8:9" x14ac:dyDescent="0.25">
      <c r="H226"/>
      <c r="I226"/>
    </row>
    <row r="227" spans="8:9" x14ac:dyDescent="0.25">
      <c r="H227"/>
      <c r="I227"/>
    </row>
    <row r="228" spans="8:9" x14ac:dyDescent="0.25">
      <c r="H228"/>
      <c r="I228"/>
    </row>
    <row r="229" spans="8:9" x14ac:dyDescent="0.25">
      <c r="H229"/>
      <c r="I229"/>
    </row>
    <row r="230" spans="8:9" x14ac:dyDescent="0.25">
      <c r="H230"/>
      <c r="I230"/>
    </row>
    <row r="231" spans="8:9" x14ac:dyDescent="0.25">
      <c r="H231"/>
      <c r="I231"/>
    </row>
    <row r="232" spans="8:9" x14ac:dyDescent="0.25">
      <c r="H232"/>
      <c r="I232"/>
    </row>
    <row r="233" spans="8:9" x14ac:dyDescent="0.25">
      <c r="H233"/>
      <c r="I233"/>
    </row>
    <row r="234" spans="8:9" x14ac:dyDescent="0.25">
      <c r="H234"/>
      <c r="I234"/>
    </row>
    <row r="235" spans="8:9" x14ac:dyDescent="0.25">
      <c r="H235"/>
      <c r="I235"/>
    </row>
    <row r="236" spans="8:9" x14ac:dyDescent="0.25">
      <c r="H236"/>
      <c r="I236"/>
    </row>
    <row r="237" spans="8:9" x14ac:dyDescent="0.25">
      <c r="H237"/>
      <c r="I237"/>
    </row>
    <row r="238" spans="8:9" x14ac:dyDescent="0.25">
      <c r="H238"/>
      <c r="I238"/>
    </row>
    <row r="239" spans="8:9" x14ac:dyDescent="0.25">
      <c r="H239"/>
      <c r="I239"/>
    </row>
    <row r="240" spans="8:9" x14ac:dyDescent="0.25">
      <c r="H240"/>
      <c r="I240"/>
    </row>
    <row r="241" spans="8:9" x14ac:dyDescent="0.25">
      <c r="H241"/>
      <c r="I241"/>
    </row>
    <row r="242" spans="8:9" x14ac:dyDescent="0.25">
      <c r="H242"/>
      <c r="I242"/>
    </row>
    <row r="243" spans="8:9" x14ac:dyDescent="0.25">
      <c r="H243"/>
      <c r="I243"/>
    </row>
    <row r="244" spans="8:9" x14ac:dyDescent="0.25">
      <c r="H244"/>
      <c r="I244"/>
    </row>
    <row r="245" spans="8:9" x14ac:dyDescent="0.25">
      <c r="H245"/>
      <c r="I245"/>
    </row>
    <row r="246" spans="8:9" x14ac:dyDescent="0.25">
      <c r="H246"/>
      <c r="I246"/>
    </row>
    <row r="247" spans="8:9" x14ac:dyDescent="0.25">
      <c r="H247"/>
      <c r="I247"/>
    </row>
    <row r="248" spans="8:9" x14ac:dyDescent="0.25">
      <c r="H248"/>
      <c r="I248"/>
    </row>
    <row r="249" spans="8:9" x14ac:dyDescent="0.25">
      <c r="H249"/>
      <c r="I249"/>
    </row>
    <row r="250" spans="8:9" x14ac:dyDescent="0.25">
      <c r="H250"/>
      <c r="I250"/>
    </row>
    <row r="251" spans="8:9" x14ac:dyDescent="0.25">
      <c r="H251"/>
      <c r="I251"/>
    </row>
    <row r="252" spans="8:9" x14ac:dyDescent="0.25">
      <c r="H252"/>
      <c r="I252"/>
    </row>
    <row r="253" spans="8:9" x14ac:dyDescent="0.25">
      <c r="H253"/>
      <c r="I253"/>
    </row>
    <row r="254" spans="8:9" x14ac:dyDescent="0.25">
      <c r="H254"/>
      <c r="I254"/>
    </row>
    <row r="255" spans="8:9" x14ac:dyDescent="0.25">
      <c r="H255"/>
      <c r="I255"/>
    </row>
    <row r="256" spans="8:9" x14ac:dyDescent="0.25">
      <c r="H256"/>
      <c r="I256"/>
    </row>
    <row r="257" spans="8:9" x14ac:dyDescent="0.25">
      <c r="H257"/>
      <c r="I257"/>
    </row>
    <row r="258" spans="8:9" x14ac:dyDescent="0.25">
      <c r="H258"/>
      <c r="I258"/>
    </row>
    <row r="259" spans="8:9" x14ac:dyDescent="0.25">
      <c r="H259"/>
      <c r="I259"/>
    </row>
    <row r="260" spans="8:9" x14ac:dyDescent="0.25">
      <c r="H260"/>
      <c r="I260"/>
    </row>
    <row r="261" spans="8:9" x14ac:dyDescent="0.25">
      <c r="H261"/>
      <c r="I261"/>
    </row>
    <row r="262" spans="8:9" x14ac:dyDescent="0.25">
      <c r="H262"/>
      <c r="I262"/>
    </row>
    <row r="263" spans="8:9" x14ac:dyDescent="0.25">
      <c r="H263"/>
      <c r="I263"/>
    </row>
    <row r="264" spans="8:9" x14ac:dyDescent="0.25">
      <c r="H264"/>
      <c r="I264"/>
    </row>
    <row r="265" spans="8:9" x14ac:dyDescent="0.25">
      <c r="H265"/>
      <c r="I265"/>
    </row>
    <row r="266" spans="8:9" x14ac:dyDescent="0.25">
      <c r="H266"/>
      <c r="I266"/>
    </row>
    <row r="267" spans="8:9" x14ac:dyDescent="0.25">
      <c r="H267"/>
      <c r="I267"/>
    </row>
    <row r="268" spans="8:9" x14ac:dyDescent="0.25">
      <c r="H268"/>
      <c r="I268"/>
    </row>
    <row r="269" spans="8:9" x14ac:dyDescent="0.25">
      <c r="H269"/>
      <c r="I269"/>
    </row>
    <row r="270" spans="8:9" x14ac:dyDescent="0.25">
      <c r="H270"/>
      <c r="I270"/>
    </row>
    <row r="271" spans="8:9" x14ac:dyDescent="0.25">
      <c r="H271"/>
      <c r="I271"/>
    </row>
    <row r="272" spans="8:9" x14ac:dyDescent="0.25">
      <c r="H272"/>
      <c r="I272"/>
    </row>
    <row r="273" spans="8:9" x14ac:dyDescent="0.25">
      <c r="H273"/>
      <c r="I273"/>
    </row>
    <row r="274" spans="8:9" x14ac:dyDescent="0.25">
      <c r="H274"/>
      <c r="I274"/>
    </row>
    <row r="275" spans="8:9" x14ac:dyDescent="0.25">
      <c r="H275"/>
      <c r="I275"/>
    </row>
    <row r="276" spans="8:9" x14ac:dyDescent="0.25">
      <c r="H276"/>
      <c r="I276"/>
    </row>
    <row r="277" spans="8:9" x14ac:dyDescent="0.25">
      <c r="H277"/>
      <c r="I277"/>
    </row>
    <row r="278" spans="8:9" x14ac:dyDescent="0.25">
      <c r="H278"/>
      <c r="I278"/>
    </row>
    <row r="279" spans="8:9" x14ac:dyDescent="0.25">
      <c r="H279"/>
      <c r="I279"/>
    </row>
    <row r="280" spans="8:9" x14ac:dyDescent="0.25">
      <c r="H280"/>
      <c r="I280"/>
    </row>
    <row r="281" spans="8:9" x14ac:dyDescent="0.25">
      <c r="H281"/>
      <c r="I281"/>
    </row>
    <row r="282" spans="8:9" x14ac:dyDescent="0.25">
      <c r="H282"/>
      <c r="I282"/>
    </row>
    <row r="283" spans="8:9" x14ac:dyDescent="0.25">
      <c r="H283"/>
      <c r="I283"/>
    </row>
    <row r="284" spans="8:9" x14ac:dyDescent="0.25">
      <c r="H284"/>
      <c r="I284"/>
    </row>
    <row r="285" spans="8:9" x14ac:dyDescent="0.25">
      <c r="H285"/>
      <c r="I285"/>
    </row>
    <row r="286" spans="8:9" x14ac:dyDescent="0.25">
      <c r="H286"/>
      <c r="I286"/>
    </row>
    <row r="287" spans="8:9" x14ac:dyDescent="0.25">
      <c r="H287"/>
      <c r="I287"/>
    </row>
    <row r="288" spans="8:9" x14ac:dyDescent="0.25">
      <c r="H288"/>
      <c r="I288"/>
    </row>
    <row r="289" spans="8:9" x14ac:dyDescent="0.25">
      <c r="H289"/>
      <c r="I289"/>
    </row>
    <row r="290" spans="8:9" x14ac:dyDescent="0.25">
      <c r="H290"/>
      <c r="I290"/>
    </row>
    <row r="291" spans="8:9" x14ac:dyDescent="0.25">
      <c r="H291"/>
      <c r="I291"/>
    </row>
    <row r="292" spans="8:9" x14ac:dyDescent="0.25">
      <c r="H292"/>
      <c r="I292"/>
    </row>
    <row r="293" spans="8:9" x14ac:dyDescent="0.25">
      <c r="H293"/>
      <c r="I293"/>
    </row>
    <row r="294" spans="8:9" x14ac:dyDescent="0.25">
      <c r="H294"/>
      <c r="I294"/>
    </row>
    <row r="295" spans="8:9" x14ac:dyDescent="0.25">
      <c r="H295"/>
      <c r="I295"/>
    </row>
    <row r="296" spans="8:9" x14ac:dyDescent="0.25">
      <c r="H296"/>
      <c r="I296"/>
    </row>
    <row r="297" spans="8:9" x14ac:dyDescent="0.25">
      <c r="H297"/>
      <c r="I297"/>
    </row>
    <row r="298" spans="8:9" x14ac:dyDescent="0.25">
      <c r="H298"/>
      <c r="I298"/>
    </row>
    <row r="299" spans="8:9" x14ac:dyDescent="0.25">
      <c r="H299"/>
      <c r="I299"/>
    </row>
    <row r="300" spans="8:9" x14ac:dyDescent="0.25">
      <c r="H300"/>
      <c r="I300"/>
    </row>
    <row r="301" spans="8:9" x14ac:dyDescent="0.25">
      <c r="H301"/>
      <c r="I301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36AE-C8F9-4446-AE64-740BF5F14167}">
  <dimension ref="A1"/>
  <sheetViews>
    <sheetView tabSelected="1" workbookViewId="0">
      <selection activeCell="X4" sqref="X4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EB8D55-EBC1-43A0-9961-50CEC9CCE0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angles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Wolcott, Matthew R</dc:creator>
  <cp:lastModifiedBy>Wolcott, Matthew R</cp:lastModifiedBy>
  <dcterms:created xsi:type="dcterms:W3CDTF">2025-03-23T23:49:00Z</dcterms:created>
  <dcterms:modified xsi:type="dcterms:W3CDTF">2025-04-02T03:45:23Z</dcterms:modified>
</cp:coreProperties>
</file>